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rnclinic\Desktop\"/>
    </mc:Choice>
  </mc:AlternateContent>
  <xr:revisionPtr revIDLastSave="0" documentId="13_ncr:1_{12E29653-9969-4855-A58A-AEC4C43DBB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สรุป" sheetId="1" r:id="rId1"/>
    <sheet name="ระบบและทรัพย์สิน" sheetId="2" r:id="rId2"/>
    <sheet name="ข้อมูลที่ยังขาด" sheetId="3" r:id="rId3"/>
    <sheet name="ความเสี่ยง" sheetId="4" r:id="rId4"/>
    <sheet name="Handover" sheetId="5" r:id="rId5"/>
    <sheet name="ข้อมูลใช้งานจริ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C7" i="1"/>
  <c r="A7" i="1"/>
</calcChain>
</file>

<file path=xl/sharedStrings.xml><?xml version="1.0" encoding="utf-8"?>
<sst xmlns="http://schemas.openxmlformats.org/spreadsheetml/2006/main" count="269" uniqueCount="212">
  <si>
    <t>Weekly IT &amp; Data Report</t>
  </si>
  <si>
    <t>ข้อมูลตรวจสอบ ณ 16 กันยายน 2569</t>
  </si>
  <si>
    <t>ระบบที่ตรวจ</t>
  </si>
  <si>
    <t>ออนไลน์</t>
  </si>
  <si>
    <t>ต้องติดตาม</t>
  </si>
  <si>
    <t>สถานะ</t>
  </si>
  <si>
    <t>รายการสำคัญ</t>
  </si>
  <si>
    <t>เสร็จแล้ว</t>
  </si>
  <si>
    <t>Dashboard lint/build ผ่าน; Pass App tests 37/37; Remote build/test ผ่าน; ระบบหลัก 3 ระบบเปิดได้</t>
  </si>
  <si>
    <t>กำลังทำ</t>
  </si>
  <si>
    <t>Remote กำลังแก้ความถูกต้องของการส่งไฟล์และลดความหน่วงเมาส์</t>
  </si>
  <si>
    <t>ติดข้อจำกัด</t>
  </si>
  <si>
    <t>ประเด็นสำคัญ</t>
  </si>
  <si>
    <t>ข้อมูลที่ตรวจพบ</t>
  </si>
  <si>
    <t>ระบบหลัก</t>
  </si>
  <si>
    <t>Dashboard, iOS Device Monitor และ Pass App ตอบกลับและเปิดใช้งานได้</t>
  </si>
  <si>
    <t>iOS Device Monitor</t>
  </si>
  <si>
    <t>อุปกรณ์ 76 เครื่อง: Active 52, Pending 13, Unverified 1, Overdue 10</t>
  </si>
  <si>
    <t>Dashboard</t>
  </si>
  <si>
    <t>มีการแก้ไข 6 commit ระหว่าง 9-10 ก.ย. ครอบคลุมทรัพย์สิน License ยอดราคา และข้อมูลความปลอดภัย</t>
  </si>
  <si>
    <t>Pass App</t>
  </si>
  <si>
    <t>ชุดทดสอบผ่าน 37/37 แต่ระบบเก็บคำขอยังไม่ถาวร และยังไม่ได้จำกัด LINE group</t>
  </si>
  <si>
    <t>Remote</t>
  </si>
  <si>
    <t>Build/test ผ่าน แต่ยังใช้ทดสอบภายในเท่านั้น และยังไม่ผ่าน Security Gate</t>
  </si>
  <si>
    <t>สถานะระบบและทรัพย์สิน</t>
  </si>
  <si>
    <t>ตัวเลขจากระบบ ณ วันที่ตรวจ ไม่รวมข้อมูลส่วนบุคคล</t>
  </si>
  <si>
    <t>ระบบ</t>
  </si>
  <si>
    <t>ผลตรวจ</t>
  </si>
  <si>
    <t>สิ่งที่ยืนยันได้</t>
  </si>
  <si>
    <t>ข้อจำกัด / งานค้าง</t>
  </si>
  <si>
    <t>Dashboard แสดงอุปกรณ์ 169 เครื่อง: ว่าง 26; ชำรุด 4; สูญหาย 2</t>
  </si>
  <si>
    <t>ต้องติดตามสถานะส่งซ่อม รออะไหล่ รอจัดซื้อ ผู้รับผิดชอบ และกำหนดเสร็จ</t>
  </si>
  <si>
    <t>iOS Monitor</t>
  </si>
  <si>
    <t>76 อุปกรณ์; Active 52; Pending 13; Unverified 1; Overdue 10</t>
  </si>
  <si>
    <t>มี 24 เครื่องที่ต้องดำเนินการ และ 29 เครื่องใกล้ครบกำหนดภายใน 7 วัน</t>
  </si>
  <si>
    <t>Health ผ่าน; LINE พร้อม; เมนู 66 รายการ; tests 37/37</t>
  </si>
  <si>
    <t>Request store ไม่ถาวร; LINE group restriction และ Lark ยังไม่ตั้งค่า</t>
  </si>
  <si>
    <t>ทดสอบได้</t>
  </si>
  <si>
    <t>Health 200; build/test ผ่าน; Git ล่าสุด c84bb54 วันที่ 16 ก.ย.</t>
  </si>
  <si>
    <t>ตอบครั้งแรกประมาณ 22.4 วินาที; ยังไม่ผ่าน Security Gate</t>
  </si>
  <si>
    <t>กลุ่ม</t>
  </si>
  <si>
    <t>ข้อมูลที่พบ</t>
  </si>
  <si>
    <t>ข้อสรุป</t>
  </si>
  <si>
    <t>อุปกรณ์ iOS</t>
  </si>
  <si>
    <t>Active 52; Pending 13; Unverified 1; Overdue 10</t>
  </si>
  <si>
    <t>ทรัพย์สินจาก Dashboard</t>
  </si>
  <si>
    <t>ว่าง 26; ชำรุด 4; สูญหาย 2</t>
  </si>
  <si>
    <t>ส่งซ่อม / รออะไหล่ / รอจัดซื้อ / สูญหาย / ไม่พบข้อมูล</t>
  </si>
  <si>
    <t>ชำรุด 4; สูญหาย 2</t>
  </si>
  <si>
    <t>รออะไหล่ 1 (PC-006); ส่งซ่อมและรอจัดซื้อยังไม่มีจำนวนยืนยัน; รายการชำรุด 4 รายการมีข้อมูลติดตามไม่ครบ</t>
  </si>
  <si>
    <t>สถานะอุปกรณ์ที่ต้องติดตามจาก Dashboard</t>
  </si>
  <si>
    <t>จำนวน/รายการ</t>
  </si>
  <si>
    <t>ข้อมูลที่ยังขาด</t>
  </si>
  <si>
    <t>ส่งซ่อม</t>
  </si>
  <si>
    <t>รออะไหล่</t>
  </si>
  <si>
    <t>PC-006 รอสั่งซื้อ Mainboard / Power Supply</t>
  </si>
  <si>
    <t>รอจัดซื้อ</t>
  </si>
  <si>
    <t>รายการที่จะซื้อทดแทน ผู้อนุมัติ งบประมาณ และกำหนดรับสินค้า</t>
  </si>
  <si>
    <t>สูญหาย</t>
  </si>
  <si>
    <t>Dashboard แสดงยอดสูญหาย 2 เครื่อง</t>
  </si>
  <si>
    <t>ไม่พบข้อมูล</t>
  </si>
  <si>
    <t>รายการชำรุดทั้ง 4 รายการยังไม่มีข้อมูลติดตามครบ</t>
  </si>
  <si>
    <t>ข้อมูลบริหารที่ยังขาด</t>
  </si>
  <si>
    <t>ไม่พบหลักฐานเพียงพอในโปรเจกต์ จึงยังสรุปสถานะไม่ได้</t>
  </si>
  <si>
    <t>หัวข้อ</t>
  </si>
  <si>
    <t>สิ่งที่พบ</t>
  </si>
  <si>
    <t>ข้อมูลที่ยังไม่มี</t>
  </si>
  <si>
    <t>Internet / AIS</t>
  </si>
  <si>
    <t>ไม่พบข้อมูล HR รายสัปดาห์ในระบบ</t>
  </si>
  <si>
    <t>จำนวนเข้า/ออก; อุปกรณ์และ Account ที่รับ/คืน; รายการค้าง; ผู้ติดตาม; กำหนดจบ</t>
  </si>
  <si>
    <t>Company Account</t>
  </si>
  <si>
    <t>Vendor / Contract</t>
  </si>
  <si>
    <t>Account / Access</t>
  </si>
  <si>
    <t>สถานะที่ตรวจพบ</t>
  </si>
  <si>
    <t>ระบบบริษัทอื่น</t>
  </si>
  <si>
    <t>Open Issues และความเสี่ยง</t>
  </si>
  <si>
    <t>รายการที่ยังไม่จบจากข้อมูลที่ตรวจพบ</t>
  </si>
  <si>
    <t>Issue</t>
  </si>
  <si>
    <t>Impact</t>
  </si>
  <si>
    <t>Current Status</t>
  </si>
  <si>
    <t>งานที่ยังค้าง</t>
  </si>
  <si>
    <t>Owner / Deadline</t>
  </si>
  <si>
    <t>iOS เกินรอบ 10 เครื่อง</t>
  </si>
  <si>
    <t>ตรวจสอบการถือครองไม่ทันเวลา</t>
  </si>
  <si>
    <t>ยังเปิดอยู่</t>
  </si>
  <si>
    <t>ยังไม่มีบันทึกการติดตามและวันปิดงาน</t>
  </si>
  <si>
    <t>ยังไม่ระบุ</t>
  </si>
  <si>
    <t>iOS รอยืนยัน 14 เครื่อง</t>
  </si>
  <si>
    <t>สถานะอุปกรณ์ไม่ชัดเจน</t>
  </si>
  <si>
    <t>13 Pending + 1 Unverified</t>
  </si>
  <si>
    <t>ยังไม่มีบันทึกการตรวจและวันปิดสถานะ</t>
  </si>
  <si>
    <t>ทะเบียน Asset มี 1 รายการ</t>
  </si>
  <si>
    <t>รายงานทรัพย์สินบริษัทไม่ครบ</t>
  </si>
  <si>
    <t>ข้อมูลยังไม่ครอบคลุม</t>
  </si>
  <si>
    <t>ยังไม่มีรายการหลักและสถานะมาตรฐาน</t>
  </si>
  <si>
    <t>Pass App เก็บคำขอไม่ถาวร</t>
  </si>
  <si>
    <t>ข้อมูลคำขออาจหายเมื่อระบบเริ่มใหม่</t>
  </si>
  <si>
    <t>Health = false</t>
  </si>
  <si>
    <t>ยังไม่มีฐานข้อมูลถาวรและผลทดสอบกู้คืน</t>
  </si>
  <si>
    <t>Remote ยังไม่ผ่าน Security Gate</t>
  </si>
  <si>
    <t>เสี่ยงด้านสิทธิ์และการควบคุมเครื่อง</t>
  </si>
  <si>
    <t>ใช้ทดสอบภายในเท่านั้น</t>
  </si>
  <si>
    <t>ยังขาดการยืนยันผู้ใช้/เครื่อง, Audit, signed installer และ Security test</t>
  </si>
  <si>
    <t>AIS / HR / Vendor / Account ไม่มีข้อมูลกลาง</t>
  </si>
  <si>
    <t>ผู้บริหารตัดสินใจจากข้อมูลไม่ครบ</t>
  </si>
  <si>
    <t>งานที่ต้อง Handover</t>
  </si>
  <si>
    <t>รายการที่มีแล้วและข้อมูลที่ยังต้องจัดทำ</t>
  </si>
  <si>
    <t>มีแล้ว</t>
  </si>
  <si>
    <t>ยังต้องจัดทำ</t>
  </si>
  <si>
    <t>Dashboard มีหน้าจัดการสิทธิ์และข้อมูลทรัพย์สิน</t>
  </si>
  <si>
    <t>แหล่งข้อมูล</t>
  </si>
  <si>
    <t>ข้อจำกัด</t>
  </si>
  <si>
    <t>ข้อมูลการใช้งานจากระบบจริง</t>
  </si>
  <si>
    <t>ตรวจจากหน้าเว็บทั้ง 3 ระบบ วันที่ 16 กันยายน 2569 เวลาโดยประมาณ 15:17 น. สรุปเฉพาะยอดรวม ไม่แสดงข้อมูลส่วนบุคคล</t>
  </si>
  <si>
    <t>ตัวชี้วัด</t>
  </si>
  <si>
    <t>ค่า</t>
  </si>
  <si>
    <t>หน่วย</t>
  </si>
  <si>
    <t>หมายเหตุ</t>
  </si>
  <si>
    <t>Ticket ทั้งหมด</t>
  </si>
  <si>
    <t>ใบ</t>
  </si>
  <si>
    <t>SLA Compliance 100%</t>
  </si>
  <si>
    <t>เวลาตอบกลับเฉลี่ย</t>
  </si>
  <si>
    <t>นาที</t>
  </si>
  <si>
    <t>Resolution Time เฉลี่ย 0.5 ชั่วโมง</t>
  </si>
  <si>
    <t>คะแนนความพึงพอใจ</t>
  </si>
  <si>
    <t>/ 5</t>
  </si>
  <si>
    <t>CSAT</t>
  </si>
  <si>
    <t>ทรัพย์สินทั้งหมด</t>
  </si>
  <si>
    <t>เครื่อง</t>
  </si>
  <si>
    <t>มูลค่าทรัพย์สิน IT</t>
  </si>
  <si>
    <t>บาท</t>
  </si>
  <si>
    <t>ข้อมูลจากหน้า Dashboard</t>
  </si>
  <si>
    <t>ซอฟต์แวร์ทั้งหมด</t>
  </si>
  <si>
    <t>โปรแกรม</t>
  </si>
  <si>
    <t>ใกล้หมดสัญญา 2 โปรแกรม</t>
  </si>
  <si>
    <t>ค่าใช้จ่ายซอฟต์แวร์รายเดือน</t>
  </si>
  <si>
    <t>ค่าใช้จ่ายรายปี 378,218 บาท</t>
  </si>
  <si>
    <t>Security Incident</t>
  </si>
  <si>
    <t>ครั้ง</t>
  </si>
  <si>
    <t>Backup สำเร็จ 0%; Antivirus 100%; MFA 100%</t>
  </si>
  <si>
    <t>รายการรอตรวจรับคืน</t>
  </si>
  <si>
    <t>รายการ</t>
  </si>
  <si>
    <t>Ticket รอดำเนินการ 0; คำขอเบิกรออนุมัติ 0</t>
  </si>
  <si>
    <t>อุปกรณ์ทั้งหมด</t>
  </si>
  <si>
    <t>Active คิดเป็น 68%</t>
  </si>
  <si>
    <t>Active</t>
  </si>
  <si>
    <t>ยืนยันแล้ว</t>
  </si>
  <si>
    <t>Pending</t>
  </si>
  <si>
    <t>รอยืนยัน</t>
  </si>
  <si>
    <t>Unverified</t>
  </si>
  <si>
    <t>ยังไม่ยืนยัน</t>
  </si>
  <si>
    <t>Overdue</t>
  </si>
  <si>
    <t>เกินกำหนดตรวจ</t>
  </si>
  <si>
    <t>รายการใน Vault</t>
  </si>
  <si>
    <t>แสดงเป็น Login 67 รายการ</t>
  </si>
  <si>
    <t>คำขอใหม่</t>
  </si>
  <si>
    <t>ไม่มีคำขอรออนุมัติ</t>
  </si>
  <si>
    <t>คะแนนสุขภาพ Vault</t>
  </si>
  <si>
    <t>/ 100</t>
  </si>
  <si>
    <t>หน้าเว็บแสดงคะแนน 0/100</t>
  </si>
  <si>
    <t>รายการที่ต้องตรวจสอบ</t>
  </si>
  <si>
    <t>รหัสอ่อน 25; รหัสซ้ำ 37; เกิน 90 วัน 0; ข้อมูลไม่ครบ 57</t>
  </si>
  <si>
    <t>การเชื่อมต่อ LINE</t>
  </si>
  <si>
    <t>เชื่อมต่อแล้ว</t>
  </si>
  <si>
    <t>หน้าเว็บแสดงอัปเดตเวลา 15:17</t>
  </si>
  <si>
    <t>รายการอุปกรณ์ชำรุด/เสีย</t>
  </si>
  <si>
    <t>หมายเลขอุปกรณ์</t>
  </si>
  <si>
    <t>รายละเอียดอาการ</t>
  </si>
  <si>
    <t>ข้อมูลติดตาม</t>
  </si>
  <si>
    <t>Printer</t>
  </si>
  <si>
    <t>PT-001</t>
  </si>
  <si>
    <t>ชำรุด</t>
  </si>
  <si>
    <t>ซ่อมไม่คุ้ม เนื่องจากค่าอะไหล่สูง</t>
  </si>
  <si>
    <t>Computer (PC)</t>
  </si>
  <si>
    <t>PC-006</t>
  </si>
  <si>
    <t>รอสั่งซื้อ Mainboard / Power Supply</t>
  </si>
  <si>
    <t>PT-006</t>
  </si>
  <si>
    <t>เปลี่ยนหัวพิมพ์แล้ว แต่อาการยังไม่หาย</t>
  </si>
  <si>
    <t>กล้อง CCTV VSTARCAM</t>
  </si>
  <si>
    <t>ไม่ระบุ</t>
  </si>
  <si>
    <t>ไม่สามารถเชื่อมต่อกับระบบกล้องได้</t>
  </si>
  <si>
    <t>ลิงก์ที่ตรวจ</t>
  </si>
  <si>
    <t>https://it-monthly-dashboard-new.onrender.com/#/</t>
  </si>
  <si>
    <t>https://ios-device-monitor-46w9.onrender.com/</t>
  </si>
  <si>
    <t>https://passly-password-request.onrender.com/#vault</t>
  </si>
  <si>
    <t>ยังไม่พบวันที่แจ้งซ่อม ผู้รับผิดชอบ และกำหนดเสร็จ   (ไม่สามารถซ่อมได้)</t>
  </si>
  <si>
    <t>ยังไม่พบวันคาดว่าจะได้รับอะไหล่และกำหนดซ่อมเสร็จ  (รออะไหล่)</t>
  </si>
  <si>
    <t>ยังไม่พบขั้นตอนถัดไปและกำหนดปิดงาน   (ไม่สามารถซ่อมได้)</t>
  </si>
  <si>
    <t>ยังไม่พบหมายเลขอุปกรณ์ ผู้รับผิดชอบ และกำหนดแก้ไข (ไม่สามารถเชื่อมระบบ กล้องได้)</t>
  </si>
  <si>
    <t xml:space="preserve">Remote มี Security checklist และขั้นตอนติดตั้ง </t>
  </si>
  <si>
    <t>-</t>
  </si>
  <si>
    <t>Data owner, นิยามสถานะ, SOP พนักงานเข้า-ออก, Asset return และ Incident</t>
  </si>
  <si>
    <t>IOS&amp;Asset</t>
  </si>
  <si>
    <t>Checklist อุปกรณ์ 15 วัน/ครั้ง</t>
  </si>
  <si>
    <t>passly-password</t>
  </si>
  <si>
    <t>ติดดั้ง Gate Security เพื่อข้ามเน็ตเวิร์ค</t>
  </si>
  <si>
    <t>ย้ายระบบการขอ Password ไปที่ Lark</t>
  </si>
  <si>
    <t>Awaiting system installation.</t>
  </si>
  <si>
    <t>AIS: วันที่ 21/09/69; ผู้ติดต่อ อำพล; วันนัด; 23/09/69 อุปกรณ์ที่ต้องเปลี่ยน เร้าเตอร์ 4 จุด wifi</t>
  </si>
  <si>
    <t>วันที่ติดต่อ 21/09/69 AIS เรื่องสถานะ Upgrade 1 เป็น 2 Gbps</t>
  </si>
  <si>
    <t xml:space="preserve">มี Login บทบาทผู้ใช้ และหน้าจัดการสิทธิ์ </t>
  </si>
  <si>
    <t>ตั้งค่า Admin PIN, LINE reply และ Vault sync แล้ว LINE group restriction</t>
  </si>
  <si>
    <t xml:space="preserve">ชื่ออุปกรณ์ร iphone หมายเลขอุปกรณ์ 006,012 </t>
  </si>
  <si>
    <t>ทุกงานยังขาด Own วันที่แจ้ง และ ETA; กล้อง CCTV ไม่มีหมายเลขอุปกรณ์</t>
  </si>
  <si>
    <t>วันสั่งซื้อ วันรับอะไหล่ ผู้รับผิดชอบ IT  และกำหนดซ่อมเสร็จ</t>
  </si>
  <si>
    <t>PC-006 รอสั่งซื้อ Mainboard / Power Supplyที่ระบุสถานะ ‘รอจัดซื้อ’ โดยตรง</t>
  </si>
  <si>
    <t>พบอุปกรณ์ชำรุด 2 รายการ แต่สถานะในทะเบียนยังเป็น ‘ชำรุด’</t>
  </si>
  <si>
    <t>ไม่สามารถซ่อมได้ pt-001,pt-006 , cctv VSTARCAM</t>
  </si>
  <si>
    <t>พนักงานเบิก /  คืน</t>
  </si>
  <si>
    <t>ทะเบียนทรัพย์สินทั่วไปมี 1 รายการ และยังไม่มีข้อมูล รายงานเบิกคืนของพนักงาน Account owner และ Vendor contract ในโปรเจกต์</t>
  </si>
  <si>
    <t>มีรายงานผู้ใช้งานแต่ยังไม่มีระบบแจ้งเตือน Owner</t>
  </si>
  <si>
    <t>มีรายงานผู้ใช้งานครบถ้วน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</si>
</sst>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>
    <font>
      <sz val="11"/>
      <name val="Carlito"/>
    </font>
    <font>
      <sz val="10"/>
      <color rgb="FF172033"/>
      <name val="Arial"/>
    </font>
    <font>
      <b/>
      <sz val="16"/>
      <color rgb="FF0B2239"/>
      <name val="Arial"/>
    </font>
    <font>
      <i/>
      <sz val="10"/>
      <color rgb="FF64748B"/>
      <name val="Arial"/>
    </font>
    <font>
      <b/>
      <sz val="10"/>
      <color rgb="FF0B2239"/>
      <name val="Arial"/>
    </font>
    <font>
      <b/>
      <sz val="15"/>
      <color rgb="FF0B2239"/>
      <name val="Arial"/>
    </font>
    <font>
      <b/>
      <sz val="10"/>
      <color rgb="FFFFFFFF"/>
      <name val="Arial"/>
    </font>
    <font>
      <sz val="9"/>
      <color rgb="FF334155"/>
      <name val="Arial"/>
    </font>
    <font>
      <b/>
      <sz val="14"/>
      <color rgb="FF0B2239"/>
      <name val="Arial"/>
    </font>
    <font>
      <sz val="10"/>
      <color rgb="FF17203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8F4F8"/>
      </patternFill>
    </fill>
    <fill>
      <patternFill patternType="solid">
        <fgColor rgb="FF0B2239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0B2239"/>
      </patternFill>
    </fill>
    <fill>
      <patternFill patternType="solid">
        <fgColor rgb="FFE8F4F8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991B1B"/>
      </patternFill>
    </fill>
    <fill>
      <patternFill patternType="solid">
        <fgColor rgb="FFFEE2E2"/>
      </patternFill>
    </fill>
  </fills>
  <borders count="7">
    <border>
      <left/>
      <right/>
      <top/>
      <bottom/>
      <diagonal/>
    </border>
    <border>
      <left/>
      <right/>
      <top/>
      <bottom style="thin">
        <color rgb="FF0E749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2" borderId="0" xfId="0" applyFont="1" applyFill="1"/>
    <xf numFmtId="0" fontId="5" fillId="0" borderId="0" xfId="0" applyFont="1" applyAlignment="1">
      <alignment horizontal="left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6" fillId="3" borderId="6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vertical="top" wrapText="1"/>
    </xf>
    <xf numFmtId="3" fontId="0" fillId="0" borderId="4" xfId="0" applyNumberFormat="1" applyBorder="1" applyAlignment="1">
      <alignment vertical="top" wrapText="1"/>
    </xf>
    <xf numFmtId="3" fontId="0" fillId="0" borderId="5" xfId="0" applyNumberFormat="1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6" fillId="7" borderId="0" xfId="0" applyFont="1" applyFill="1"/>
    <xf numFmtId="0" fontId="6" fillId="7" borderId="0" xfId="0" applyFont="1" applyFill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8" borderId="4" xfId="0" applyFont="1" applyFill="1" applyBorder="1" applyAlignment="1">
      <alignment vertical="top" wrapText="1"/>
    </xf>
    <xf numFmtId="0" fontId="1" fillId="8" borderId="5" xfId="0" applyFont="1" applyFill="1" applyBorder="1" applyAlignment="1">
      <alignment vertical="top" wrapText="1"/>
    </xf>
    <xf numFmtId="0" fontId="1" fillId="9" borderId="5" xfId="0" applyFont="1" applyFill="1" applyBorder="1" applyAlignment="1">
      <alignment vertical="top" wrapText="1"/>
    </xf>
    <xf numFmtId="0" fontId="1" fillId="10" borderId="5" xfId="0" applyFont="1" applyFill="1" applyBorder="1" applyAlignment="1">
      <alignment vertical="top" wrapText="1"/>
    </xf>
    <xf numFmtId="164" fontId="1" fillId="0" borderId="4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3" fontId="1" fillId="0" borderId="5" xfId="0" applyNumberFormat="1" applyFont="1" applyBorder="1" applyAlignment="1">
      <alignment horizontal="right" vertical="top" wrapText="1"/>
    </xf>
    <xf numFmtId="0" fontId="6" fillId="11" borderId="0" xfId="0" applyFont="1" applyFill="1" applyAlignment="1">
      <alignment horizontal="center"/>
    </xf>
    <xf numFmtId="0" fontId="1" fillId="12" borderId="4" xfId="0" applyFont="1" applyFill="1" applyBorder="1" applyAlignment="1">
      <alignment vertical="top" wrapText="1"/>
    </xf>
    <xf numFmtId="0" fontId="1" fillId="12" borderId="5" xfId="0" applyFont="1" applyFill="1" applyBorder="1" applyAlignment="1">
      <alignment vertical="top" wrapText="1"/>
    </xf>
    <xf numFmtId="0" fontId="7" fillId="0" borderId="4" xfId="0" applyFont="1" applyBorder="1"/>
    <xf numFmtId="0" fontId="7" fillId="0" borderId="5" xfId="0" applyFont="1" applyBorder="1"/>
    <xf numFmtId="0" fontId="8" fillId="0" borderId="0" xfId="0" applyFont="1"/>
    <xf numFmtId="0" fontId="1" fillId="10" borderId="4" xfId="0" applyFont="1" applyFill="1" applyBorder="1" applyAlignment="1">
      <alignment vertical="top" wrapText="1"/>
    </xf>
    <xf numFmtId="0" fontId="9" fillId="10" borderId="5" xfId="0" applyFont="1" applyFill="1" applyBorder="1" applyAlignment="1">
      <alignment vertical="top" wrapText="1"/>
    </xf>
    <xf numFmtId="0" fontId="9" fillId="10" borderId="4" xfId="0" applyFont="1" applyFill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2239"/>
  </sheetPr>
  <dimension ref="A1:H21"/>
  <sheetViews>
    <sheetView showGridLines="0" workbookViewId="0">
      <pane ySplit="4" topLeftCell="A5" activePane="bottomLeft" state="frozen"/>
      <selection pane="bottomLeft" activeCell="B13" sqref="B13"/>
    </sheetView>
  </sheetViews>
  <sheetFormatPr defaultRowHeight="13.8"/>
  <cols>
    <col min="1" max="1" width="23" customWidth="1"/>
    <col min="2" max="2" width="96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21">
      <c r="A2" s="2" t="s">
        <v>0</v>
      </c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4" t="s">
        <v>1</v>
      </c>
    </row>
    <row r="6" spans="1:8">
      <c r="A6" s="5" t="s">
        <v>2</v>
      </c>
      <c r="B6" s="5"/>
      <c r="C6" s="5" t="s">
        <v>3</v>
      </c>
      <c r="D6" s="5"/>
      <c r="E6" s="5" t="s">
        <v>4</v>
      </c>
      <c r="F6" s="5"/>
    </row>
    <row r="7" spans="1:8" ht="19.2">
      <c r="A7" s="6">
        <f>COUNTA(ระบบและทรัพย์สิน!A6:A9)</f>
        <v>4</v>
      </c>
      <c r="B7" s="6"/>
      <c r="C7" s="6">
        <f>COUNTIF(ระบบและทรัพย์สิน!B6:B9,"ออนไลน์")</f>
        <v>3</v>
      </c>
      <c r="D7" s="6"/>
      <c r="E7" s="6">
        <f>COUNTIF(ระบบและทรัพย์สิน!B6:B9,"&lt;&gt;ออนไลน์")</f>
        <v>1</v>
      </c>
      <c r="F7" s="6"/>
    </row>
    <row r="10" spans="1:8">
      <c r="A10" s="7" t="s">
        <v>5</v>
      </c>
      <c r="B10" s="8" t="s">
        <v>6</v>
      </c>
    </row>
    <row r="11" spans="1:8" ht="34.049999999999997" customHeight="1">
      <c r="A11" s="11" t="s">
        <v>7</v>
      </c>
      <c r="B11" s="9" t="s">
        <v>8</v>
      </c>
    </row>
    <row r="12" spans="1:8" ht="34.049999999999997" customHeight="1">
      <c r="A12" s="12" t="s">
        <v>9</v>
      </c>
      <c r="B12" s="10" t="s">
        <v>10</v>
      </c>
    </row>
    <row r="13" spans="1:8" ht="34.049999999999997" customHeight="1">
      <c r="A13" s="13" t="s">
        <v>11</v>
      </c>
      <c r="B13" s="10" t="s">
        <v>209</v>
      </c>
    </row>
    <row r="14" spans="1:8" ht="34.049999999999997" customHeight="1"/>
    <row r="15" spans="1:8" ht="34.049999999999997" customHeight="1"/>
    <row r="16" spans="1:8" ht="34.049999999999997" customHeight="1">
      <c r="A16" s="7" t="s">
        <v>12</v>
      </c>
      <c r="B16" s="8" t="s">
        <v>13</v>
      </c>
    </row>
    <row r="17" spans="1:2" ht="34.049999999999997" customHeight="1">
      <c r="A17" s="9" t="s">
        <v>14</v>
      </c>
      <c r="B17" s="9" t="s">
        <v>15</v>
      </c>
    </row>
    <row r="18" spans="1:2" ht="34.049999999999997" customHeight="1">
      <c r="A18" s="10" t="s">
        <v>16</v>
      </c>
      <c r="B18" s="10" t="s">
        <v>17</v>
      </c>
    </row>
    <row r="19" spans="1:2" ht="34.049999999999997" customHeight="1">
      <c r="A19" s="10" t="s">
        <v>18</v>
      </c>
      <c r="B19" s="10" t="s">
        <v>19</v>
      </c>
    </row>
    <row r="20" spans="1:2" ht="34.049999999999997" customHeight="1">
      <c r="A20" s="10" t="s">
        <v>20</v>
      </c>
      <c r="B20" s="10" t="s">
        <v>21</v>
      </c>
    </row>
    <row r="21" spans="1:2" ht="34.049999999999997" customHeight="1">
      <c r="A21" s="10" t="s">
        <v>22</v>
      </c>
      <c r="B21" s="1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7490"/>
  </sheetPr>
  <dimension ref="A1:D30"/>
  <sheetViews>
    <sheetView showGridLines="0" tabSelected="1" workbookViewId="0">
      <pane ySplit="5" topLeftCell="A6" activePane="bottomLeft" state="frozen"/>
      <selection pane="bottomLeft" activeCell="D27" sqref="D27"/>
    </sheetView>
  </sheetViews>
  <sheetFormatPr defaultRowHeight="13.8"/>
  <cols>
    <col min="1" max="1" width="28" customWidth="1"/>
    <col min="2" max="2" width="18" customWidth="1"/>
    <col min="3" max="3" width="64" customWidth="1"/>
    <col min="4" max="4" width="62" customWidth="1"/>
  </cols>
  <sheetData>
    <row r="1" spans="1:4">
      <c r="A1" s="1"/>
      <c r="B1" s="1"/>
      <c r="C1" s="1"/>
      <c r="D1" s="1"/>
    </row>
    <row r="2" spans="1:4" ht="21">
      <c r="A2" s="2" t="s">
        <v>24</v>
      </c>
    </row>
    <row r="3" spans="1:4">
      <c r="A3" s="3"/>
      <c r="B3" s="3"/>
      <c r="C3" s="3"/>
      <c r="D3" s="3"/>
    </row>
    <row r="4" spans="1:4">
      <c r="A4" s="4" t="s">
        <v>25</v>
      </c>
    </row>
    <row r="5" spans="1:4">
      <c r="A5" s="7" t="s">
        <v>26</v>
      </c>
      <c r="B5" s="14" t="s">
        <v>27</v>
      </c>
      <c r="C5" s="14" t="s">
        <v>28</v>
      </c>
      <c r="D5" s="8" t="s">
        <v>29</v>
      </c>
    </row>
    <row r="6" spans="1:4" ht="43.95" customHeight="1">
      <c r="A6" s="9" t="s">
        <v>18</v>
      </c>
      <c r="B6" s="11" t="s">
        <v>3</v>
      </c>
      <c r="C6" s="9" t="s">
        <v>30</v>
      </c>
      <c r="D6" s="9" t="s">
        <v>31</v>
      </c>
    </row>
    <row r="7" spans="1:4" ht="43.95" customHeight="1">
      <c r="A7" s="10" t="s">
        <v>32</v>
      </c>
      <c r="B7" s="15" t="s">
        <v>3</v>
      </c>
      <c r="C7" s="10" t="s">
        <v>33</v>
      </c>
      <c r="D7" s="10" t="s">
        <v>34</v>
      </c>
    </row>
    <row r="8" spans="1:4" ht="43.95" customHeight="1">
      <c r="A8" s="10" t="s">
        <v>20</v>
      </c>
      <c r="B8" s="15" t="s">
        <v>3</v>
      </c>
      <c r="C8" s="10" t="s">
        <v>35</v>
      </c>
      <c r="D8" s="10" t="s">
        <v>36</v>
      </c>
    </row>
    <row r="9" spans="1:4" ht="43.95" customHeight="1">
      <c r="A9" s="10" t="s">
        <v>22</v>
      </c>
      <c r="B9" s="13" t="s">
        <v>37</v>
      </c>
      <c r="C9" s="10" t="s">
        <v>38</v>
      </c>
      <c r="D9" s="10" t="s">
        <v>39</v>
      </c>
    </row>
    <row r="10" spans="1:4" ht="43.95" customHeight="1"/>
    <row r="11" spans="1:4" ht="43.95" customHeight="1"/>
    <row r="12" spans="1:4" ht="43.95" customHeight="1">
      <c r="A12" s="7" t="s">
        <v>40</v>
      </c>
      <c r="B12" s="14" t="s">
        <v>41</v>
      </c>
      <c r="C12" s="8" t="s">
        <v>42</v>
      </c>
    </row>
    <row r="13" spans="1:4" ht="43.95" customHeight="1">
      <c r="A13" s="9" t="s">
        <v>43</v>
      </c>
      <c r="B13" s="16">
        <v>76</v>
      </c>
      <c r="C13" s="9" t="s">
        <v>44</v>
      </c>
    </row>
    <row r="14" spans="1:4" ht="43.95" customHeight="1">
      <c r="A14" s="10" t="s">
        <v>45</v>
      </c>
      <c r="B14" s="17">
        <v>169</v>
      </c>
      <c r="C14" s="10" t="s">
        <v>46</v>
      </c>
    </row>
    <row r="15" spans="1:4" ht="43.95" customHeight="1">
      <c r="A15" s="10" t="s">
        <v>47</v>
      </c>
      <c r="B15" s="10" t="s">
        <v>48</v>
      </c>
      <c r="C15" s="10" t="s">
        <v>49</v>
      </c>
    </row>
    <row r="23" spans="1:4" ht="17.399999999999999">
      <c r="A23" s="40" t="s">
        <v>50</v>
      </c>
    </row>
    <row r="24" spans="1:4">
      <c r="A24" s="3"/>
      <c r="B24" s="3"/>
      <c r="C24" s="3"/>
      <c r="D24" s="3"/>
    </row>
    <row r="25" spans="1:4">
      <c r="A25" s="22" t="s">
        <v>5</v>
      </c>
      <c r="B25" s="22" t="s">
        <v>51</v>
      </c>
      <c r="C25" s="22" t="s">
        <v>41</v>
      </c>
      <c r="D25" s="22" t="s">
        <v>52</v>
      </c>
    </row>
    <row r="26" spans="1:4" ht="43.95" customHeight="1">
      <c r="A26" s="41" t="s">
        <v>53</v>
      </c>
      <c r="B26" s="28"/>
      <c r="C26" s="45" t="s">
        <v>206</v>
      </c>
      <c r="D26" s="43" t="s">
        <v>207</v>
      </c>
    </row>
    <row r="27" spans="1:4" ht="43.95" customHeight="1">
      <c r="A27" s="31" t="s">
        <v>54</v>
      </c>
      <c r="B27" s="29">
        <v>1</v>
      </c>
      <c r="C27" s="44" t="s">
        <v>55</v>
      </c>
      <c r="D27" s="42" t="s">
        <v>204</v>
      </c>
    </row>
    <row r="28" spans="1:4" ht="43.95" customHeight="1">
      <c r="A28" s="31" t="s">
        <v>56</v>
      </c>
      <c r="B28" s="29">
        <v>1</v>
      </c>
      <c r="C28" s="44" t="s">
        <v>205</v>
      </c>
      <c r="D28" s="31" t="s">
        <v>57</v>
      </c>
    </row>
    <row r="29" spans="1:4" ht="43.95" customHeight="1">
      <c r="A29" s="31" t="s">
        <v>58</v>
      </c>
      <c r="B29" s="29">
        <v>2</v>
      </c>
      <c r="C29" s="27" t="s">
        <v>59</v>
      </c>
      <c r="D29" s="42" t="s">
        <v>202</v>
      </c>
    </row>
    <row r="30" spans="1:4" ht="43.95" customHeight="1">
      <c r="A30" s="31" t="s">
        <v>60</v>
      </c>
      <c r="B30" s="29">
        <v>4</v>
      </c>
      <c r="C30" s="27" t="s">
        <v>61</v>
      </c>
      <c r="D30" s="42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showGridLines="0" workbookViewId="0">
      <pane ySplit="5" topLeftCell="A11" activePane="bottomLeft" state="frozen"/>
      <selection pane="bottomLeft" activeCell="B15" sqref="B15"/>
    </sheetView>
  </sheetViews>
  <sheetFormatPr defaultRowHeight="13.8"/>
  <cols>
    <col min="1" max="1" width="28" customWidth="1"/>
    <col min="2" max="2" width="66" customWidth="1"/>
    <col min="3" max="3" width="70" customWidth="1"/>
  </cols>
  <sheetData>
    <row r="1" spans="1:3">
      <c r="A1" s="1"/>
      <c r="B1" s="1"/>
      <c r="C1" s="1"/>
    </row>
    <row r="2" spans="1:3" ht="21">
      <c r="A2" s="2" t="s">
        <v>62</v>
      </c>
    </row>
    <row r="3" spans="1:3">
      <c r="A3" s="3"/>
      <c r="B3" s="3"/>
      <c r="C3" s="3"/>
    </row>
    <row r="4" spans="1:3">
      <c r="A4" s="4" t="s">
        <v>63</v>
      </c>
    </row>
    <row r="5" spans="1:3">
      <c r="A5" s="7" t="s">
        <v>64</v>
      </c>
      <c r="B5" s="14" t="s">
        <v>65</v>
      </c>
      <c r="C5" s="8" t="s">
        <v>66</v>
      </c>
    </row>
    <row r="6" spans="1:3" ht="48" customHeight="1">
      <c r="A6" s="9" t="s">
        <v>67</v>
      </c>
      <c r="B6" s="9" t="s">
        <v>199</v>
      </c>
      <c r="C6" s="18" t="s">
        <v>198</v>
      </c>
    </row>
    <row r="7" spans="1:3" ht="48" customHeight="1">
      <c r="A7" s="10" t="s">
        <v>208</v>
      </c>
      <c r="B7" s="10" t="s">
        <v>68</v>
      </c>
      <c r="C7" s="13" t="s">
        <v>69</v>
      </c>
    </row>
    <row r="8" spans="1:3" ht="48" customHeight="1">
      <c r="A8" s="10" t="s">
        <v>70</v>
      </c>
      <c r="B8" s="10" t="s">
        <v>211</v>
      </c>
      <c r="C8" s="13" t="s">
        <v>210</v>
      </c>
    </row>
    <row r="9" spans="1:3" ht="48" customHeight="1">
      <c r="A9" s="10" t="s">
        <v>71</v>
      </c>
      <c r="B9" s="10" t="s">
        <v>211</v>
      </c>
      <c r="C9" s="13" t="s">
        <v>190</v>
      </c>
    </row>
    <row r="10" spans="1:3" ht="48" customHeight="1"/>
    <row r="11" spans="1:3" ht="48" customHeight="1"/>
    <row r="12" spans="1:3" ht="48" customHeight="1">
      <c r="A12" s="7" t="s">
        <v>72</v>
      </c>
      <c r="B12" s="8" t="s">
        <v>73</v>
      </c>
    </row>
    <row r="13" spans="1:3" ht="48" customHeight="1">
      <c r="A13" s="9" t="s">
        <v>18</v>
      </c>
      <c r="B13" s="9" t="s">
        <v>200</v>
      </c>
    </row>
    <row r="14" spans="1:3" ht="48" customHeight="1">
      <c r="A14" s="10" t="s">
        <v>20</v>
      </c>
      <c r="B14" s="10" t="s">
        <v>201</v>
      </c>
    </row>
    <row r="15" spans="1:3" ht="48" customHeight="1">
      <c r="A15" s="10" t="s">
        <v>74</v>
      </c>
      <c r="B15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workbookViewId="0">
      <pane ySplit="5" topLeftCell="A6" activePane="bottomLeft" state="frozen"/>
      <selection pane="bottomLeft" activeCell="B4" sqref="B4"/>
    </sheetView>
  </sheetViews>
  <sheetFormatPr defaultRowHeight="13.8"/>
  <cols>
    <col min="1" max="1" width="31" customWidth="1"/>
    <col min="2" max="2" width="40" customWidth="1"/>
    <col min="3" max="3" width="34" customWidth="1"/>
    <col min="4" max="4" width="55" customWidth="1"/>
    <col min="5" max="5" width="22" customWidth="1"/>
  </cols>
  <sheetData>
    <row r="1" spans="1:5">
      <c r="A1" s="1"/>
      <c r="B1" s="1"/>
      <c r="C1" s="1"/>
      <c r="D1" s="1"/>
      <c r="E1" s="1"/>
    </row>
    <row r="2" spans="1:5" ht="21">
      <c r="A2" s="2" t="s">
        <v>75</v>
      </c>
    </row>
    <row r="3" spans="1:5">
      <c r="A3" s="3"/>
      <c r="B3" s="3"/>
      <c r="C3" s="3"/>
      <c r="D3" s="3"/>
      <c r="E3" s="3"/>
    </row>
    <row r="4" spans="1:5">
      <c r="A4" s="4" t="s">
        <v>76</v>
      </c>
    </row>
    <row r="5" spans="1:5">
      <c r="A5" s="7" t="s">
        <v>77</v>
      </c>
      <c r="B5" s="14" t="s">
        <v>78</v>
      </c>
      <c r="C5" s="14" t="s">
        <v>79</v>
      </c>
      <c r="D5" s="14" t="s">
        <v>80</v>
      </c>
      <c r="E5" s="8" t="s">
        <v>81</v>
      </c>
    </row>
    <row r="6" spans="1:5" ht="48" customHeight="1">
      <c r="A6" s="19" t="s">
        <v>82</v>
      </c>
      <c r="B6" s="9" t="s">
        <v>83</v>
      </c>
      <c r="C6" s="9" t="s">
        <v>84</v>
      </c>
      <c r="D6" s="9" t="s">
        <v>85</v>
      </c>
      <c r="E6" s="18" t="s">
        <v>86</v>
      </c>
    </row>
    <row r="7" spans="1:5" ht="48" customHeight="1">
      <c r="A7" s="20" t="s">
        <v>87</v>
      </c>
      <c r="B7" s="10" t="s">
        <v>88</v>
      </c>
      <c r="C7" s="10" t="s">
        <v>89</v>
      </c>
      <c r="D7" s="10" t="s">
        <v>90</v>
      </c>
      <c r="E7" s="13" t="s">
        <v>86</v>
      </c>
    </row>
    <row r="8" spans="1:5" ht="48" customHeight="1">
      <c r="A8" s="20" t="s">
        <v>91</v>
      </c>
      <c r="B8" s="10" t="s">
        <v>92</v>
      </c>
      <c r="C8" s="10" t="s">
        <v>93</v>
      </c>
      <c r="D8" s="10" t="s">
        <v>94</v>
      </c>
      <c r="E8" s="13" t="s">
        <v>86</v>
      </c>
    </row>
    <row r="9" spans="1:5" ht="48" customHeight="1">
      <c r="A9" s="20" t="s">
        <v>95</v>
      </c>
      <c r="B9" s="10" t="s">
        <v>96</v>
      </c>
      <c r="C9" s="10" t="s">
        <v>97</v>
      </c>
      <c r="D9" s="10" t="s">
        <v>98</v>
      </c>
      <c r="E9" s="13" t="s">
        <v>86</v>
      </c>
    </row>
    <row r="10" spans="1:5" ht="48" customHeight="1">
      <c r="A10" s="20" t="s">
        <v>99</v>
      </c>
      <c r="B10" s="10" t="s">
        <v>100</v>
      </c>
      <c r="C10" s="10" t="s">
        <v>101</v>
      </c>
      <c r="D10" s="10" t="s">
        <v>102</v>
      </c>
      <c r="E10" s="13" t="s">
        <v>86</v>
      </c>
    </row>
    <row r="11" spans="1:5" ht="48" customHeight="1">
      <c r="A11" s="20" t="s">
        <v>103</v>
      </c>
      <c r="B11" s="10" t="s">
        <v>104</v>
      </c>
      <c r="C11" s="10" t="s">
        <v>197</v>
      </c>
      <c r="D11" s="10" t="s">
        <v>190</v>
      </c>
      <c r="E11" s="13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showGridLines="0" workbookViewId="0">
      <pane ySplit="5" topLeftCell="A6" activePane="bottomLeft" state="frozen"/>
      <selection pane="bottomLeft" activeCell="B9" sqref="B9"/>
    </sheetView>
  </sheetViews>
  <sheetFormatPr defaultRowHeight="13.8"/>
  <cols>
    <col min="1" max="1" width="70" customWidth="1"/>
    <col min="2" max="2" width="78" customWidth="1"/>
  </cols>
  <sheetData>
    <row r="1" spans="1:2">
      <c r="A1" s="1"/>
      <c r="B1" s="1"/>
    </row>
    <row r="2" spans="1:2" ht="21">
      <c r="A2" s="2" t="s">
        <v>105</v>
      </c>
    </row>
    <row r="3" spans="1:2">
      <c r="A3" s="3"/>
      <c r="B3" s="3"/>
    </row>
    <row r="4" spans="1:2">
      <c r="A4" s="4" t="s">
        <v>106</v>
      </c>
    </row>
    <row r="5" spans="1:2">
      <c r="A5" s="7" t="s">
        <v>107</v>
      </c>
      <c r="B5" s="8" t="s">
        <v>108</v>
      </c>
    </row>
    <row r="6" spans="1:2" ht="49.95" customHeight="1">
      <c r="A6" s="10" t="s">
        <v>109</v>
      </c>
      <c r="B6" s="13" t="s">
        <v>191</v>
      </c>
    </row>
    <row r="7" spans="1:2" ht="49.95" customHeight="1">
      <c r="A7" s="10" t="s">
        <v>192</v>
      </c>
      <c r="B7" s="13" t="s">
        <v>193</v>
      </c>
    </row>
    <row r="8" spans="1:2" ht="49.95" customHeight="1">
      <c r="A8" s="10" t="s">
        <v>189</v>
      </c>
      <c r="B8" s="18" t="s">
        <v>195</v>
      </c>
    </row>
    <row r="9" spans="1:2" ht="49.95" customHeight="1">
      <c r="A9" s="10" t="s">
        <v>194</v>
      </c>
      <c r="B9" s="18" t="s">
        <v>196</v>
      </c>
    </row>
    <row r="10" spans="1:2" ht="49.95" customHeight="1"/>
    <row r="11" spans="1:2" ht="49.95" customHeight="1"/>
    <row r="12" spans="1:2" ht="49.95" customHeight="1">
      <c r="A12" s="7" t="s">
        <v>110</v>
      </c>
      <c r="B12" s="8" t="s">
        <v>111</v>
      </c>
    </row>
    <row r="13" spans="1:2" ht="49.95" customHeight="1">
      <c r="A13" s="9"/>
      <c r="B13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E7490"/>
  </sheetPr>
  <dimension ref="A2:E38"/>
  <sheetViews>
    <sheetView showGridLines="0" workbookViewId="0">
      <pane ySplit="6" topLeftCell="A21" activePane="bottomLeft" state="frozen"/>
      <selection pane="bottomLeft" activeCell="E33" sqref="E33"/>
    </sheetView>
  </sheetViews>
  <sheetFormatPr defaultRowHeight="13.8"/>
  <cols>
    <col min="1" max="1" width="24" customWidth="1"/>
    <col min="2" max="2" width="38" customWidth="1"/>
    <col min="3" max="4" width="18" customWidth="1"/>
    <col min="5" max="5" width="72" customWidth="1"/>
  </cols>
  <sheetData>
    <row r="2" spans="1:5" ht="21">
      <c r="A2" s="2" t="s">
        <v>112</v>
      </c>
    </row>
    <row r="3" spans="1:5">
      <c r="A3" s="3"/>
      <c r="B3" s="3"/>
      <c r="C3" s="3"/>
      <c r="D3" s="3"/>
      <c r="E3" s="3"/>
    </row>
    <row r="4" spans="1:5">
      <c r="A4" s="4" t="s">
        <v>113</v>
      </c>
    </row>
    <row r="6" spans="1:5" ht="30" customHeight="1">
      <c r="A6" s="23" t="s">
        <v>26</v>
      </c>
      <c r="B6" s="24" t="s">
        <v>114</v>
      </c>
      <c r="C6" s="24" t="s">
        <v>115</v>
      </c>
      <c r="D6" s="24" t="s">
        <v>116</v>
      </c>
      <c r="E6" s="25" t="s">
        <v>117</v>
      </c>
    </row>
    <row r="7" spans="1:5" ht="34.049999999999997" customHeight="1">
      <c r="A7" s="28" t="s">
        <v>18</v>
      </c>
      <c r="B7" s="26" t="s">
        <v>118</v>
      </c>
      <c r="C7" s="32">
        <v>5</v>
      </c>
      <c r="D7" s="26" t="s">
        <v>119</v>
      </c>
      <c r="E7" s="26" t="s">
        <v>120</v>
      </c>
    </row>
    <row r="8" spans="1:5" ht="34.049999999999997" customHeight="1">
      <c r="A8" s="29" t="s">
        <v>18</v>
      </c>
      <c r="B8" s="27" t="s">
        <v>121</v>
      </c>
      <c r="C8" s="33">
        <v>6</v>
      </c>
      <c r="D8" s="27" t="s">
        <v>122</v>
      </c>
      <c r="E8" s="27" t="s">
        <v>123</v>
      </c>
    </row>
    <row r="9" spans="1:5" ht="34.049999999999997" customHeight="1">
      <c r="A9" s="29" t="s">
        <v>18</v>
      </c>
      <c r="B9" s="27" t="s">
        <v>124</v>
      </c>
      <c r="C9" s="33">
        <v>4.9000000000000004</v>
      </c>
      <c r="D9" s="27" t="s">
        <v>125</v>
      </c>
      <c r="E9" s="27" t="s">
        <v>126</v>
      </c>
    </row>
    <row r="10" spans="1:5" ht="34.049999999999997" customHeight="1">
      <c r="A10" s="29" t="s">
        <v>18</v>
      </c>
      <c r="B10" s="27" t="s">
        <v>127</v>
      </c>
      <c r="C10" s="33">
        <v>169</v>
      </c>
      <c r="D10" s="27" t="s">
        <v>128</v>
      </c>
      <c r="E10" s="27" t="s">
        <v>46</v>
      </c>
    </row>
    <row r="11" spans="1:5" ht="34.049999999999997" customHeight="1">
      <c r="A11" s="29" t="s">
        <v>18</v>
      </c>
      <c r="B11" s="27" t="s">
        <v>129</v>
      </c>
      <c r="C11" s="34">
        <v>2576600</v>
      </c>
      <c r="D11" s="27" t="s">
        <v>130</v>
      </c>
      <c r="E11" s="27" t="s">
        <v>131</v>
      </c>
    </row>
    <row r="12" spans="1:5" ht="34.049999999999997" customHeight="1">
      <c r="A12" s="29" t="s">
        <v>18</v>
      </c>
      <c r="B12" s="27" t="s">
        <v>132</v>
      </c>
      <c r="C12" s="33">
        <v>20</v>
      </c>
      <c r="D12" s="27" t="s">
        <v>133</v>
      </c>
      <c r="E12" s="27" t="s">
        <v>134</v>
      </c>
    </row>
    <row r="13" spans="1:5" ht="34.049999999999997" customHeight="1">
      <c r="A13" s="29" t="s">
        <v>18</v>
      </c>
      <c r="B13" s="27" t="s">
        <v>135</v>
      </c>
      <c r="C13" s="34">
        <v>133964</v>
      </c>
      <c r="D13" s="27" t="s">
        <v>130</v>
      </c>
      <c r="E13" s="27" t="s">
        <v>136</v>
      </c>
    </row>
    <row r="14" spans="1:5" ht="34.049999999999997" customHeight="1">
      <c r="A14" s="29" t="s">
        <v>18</v>
      </c>
      <c r="B14" s="27" t="s">
        <v>137</v>
      </c>
      <c r="C14" s="34">
        <v>0</v>
      </c>
      <c r="D14" s="27" t="s">
        <v>138</v>
      </c>
      <c r="E14" s="27" t="s">
        <v>139</v>
      </c>
    </row>
    <row r="15" spans="1:5" ht="34.049999999999997" customHeight="1">
      <c r="A15" s="29" t="s">
        <v>18</v>
      </c>
      <c r="B15" s="27" t="s">
        <v>140</v>
      </c>
      <c r="C15" s="34">
        <v>1</v>
      </c>
      <c r="D15" s="27" t="s">
        <v>141</v>
      </c>
      <c r="E15" s="27" t="s">
        <v>142</v>
      </c>
    </row>
    <row r="16" spans="1:5" ht="34.049999999999997" customHeight="1">
      <c r="A16" s="30" t="s">
        <v>32</v>
      </c>
      <c r="B16" s="27" t="s">
        <v>143</v>
      </c>
      <c r="C16" s="34">
        <v>76</v>
      </c>
      <c r="D16" s="27" t="s">
        <v>128</v>
      </c>
      <c r="E16" s="27" t="s">
        <v>144</v>
      </c>
    </row>
    <row r="17" spans="1:5" ht="34.049999999999997" customHeight="1">
      <c r="A17" s="30" t="s">
        <v>32</v>
      </c>
      <c r="B17" s="27" t="s">
        <v>145</v>
      </c>
      <c r="C17" s="34">
        <v>52</v>
      </c>
      <c r="D17" s="27" t="s">
        <v>128</v>
      </c>
      <c r="E17" s="27" t="s">
        <v>146</v>
      </c>
    </row>
    <row r="18" spans="1:5" ht="34.049999999999997" customHeight="1">
      <c r="A18" s="30" t="s">
        <v>32</v>
      </c>
      <c r="B18" s="27" t="s">
        <v>147</v>
      </c>
      <c r="C18" s="34">
        <v>13</v>
      </c>
      <c r="D18" s="27" t="s">
        <v>128</v>
      </c>
      <c r="E18" s="27" t="s">
        <v>148</v>
      </c>
    </row>
    <row r="19" spans="1:5" ht="34.049999999999997" customHeight="1">
      <c r="A19" s="30" t="s">
        <v>32</v>
      </c>
      <c r="B19" s="27" t="s">
        <v>149</v>
      </c>
      <c r="C19" s="34">
        <v>1</v>
      </c>
      <c r="D19" s="27" t="s">
        <v>128</v>
      </c>
      <c r="E19" s="27" t="s">
        <v>150</v>
      </c>
    </row>
    <row r="20" spans="1:5" ht="34.049999999999997" customHeight="1">
      <c r="A20" s="30" t="s">
        <v>32</v>
      </c>
      <c r="B20" s="27" t="s">
        <v>151</v>
      </c>
      <c r="C20" s="34">
        <v>10</v>
      </c>
      <c r="D20" s="27" t="s">
        <v>128</v>
      </c>
      <c r="E20" s="27" t="s">
        <v>152</v>
      </c>
    </row>
    <row r="21" spans="1:5" ht="34.049999999999997" customHeight="1">
      <c r="A21" s="31" t="s">
        <v>20</v>
      </c>
      <c r="B21" s="27" t="s">
        <v>153</v>
      </c>
      <c r="C21" s="34">
        <v>67</v>
      </c>
      <c r="D21" s="27" t="s">
        <v>141</v>
      </c>
      <c r="E21" s="27" t="s">
        <v>154</v>
      </c>
    </row>
    <row r="22" spans="1:5" ht="34.049999999999997" customHeight="1">
      <c r="A22" s="31" t="s">
        <v>20</v>
      </c>
      <c r="B22" s="27" t="s">
        <v>155</v>
      </c>
      <c r="C22" s="34">
        <v>0</v>
      </c>
      <c r="D22" s="27" t="s">
        <v>141</v>
      </c>
      <c r="E22" s="27" t="s">
        <v>156</v>
      </c>
    </row>
    <row r="23" spans="1:5" ht="34.049999999999997" customHeight="1">
      <c r="A23" s="31" t="s">
        <v>20</v>
      </c>
      <c r="B23" s="27" t="s">
        <v>157</v>
      </c>
      <c r="C23" s="34">
        <v>0</v>
      </c>
      <c r="D23" s="27" t="s">
        <v>158</v>
      </c>
      <c r="E23" s="27" t="s">
        <v>159</v>
      </c>
    </row>
    <row r="24" spans="1:5" ht="34.049999999999997" customHeight="1">
      <c r="A24" s="31" t="s">
        <v>20</v>
      </c>
      <c r="B24" s="27" t="s">
        <v>160</v>
      </c>
      <c r="C24" s="34">
        <v>119</v>
      </c>
      <c r="D24" s="27" t="s">
        <v>141</v>
      </c>
      <c r="E24" s="27" t="s">
        <v>161</v>
      </c>
    </row>
    <row r="25" spans="1:5" ht="34.049999999999997" customHeight="1">
      <c r="A25" s="31" t="s">
        <v>20</v>
      </c>
      <c r="B25" s="27" t="s">
        <v>162</v>
      </c>
      <c r="C25" s="33" t="s">
        <v>163</v>
      </c>
      <c r="D25" s="27" t="s">
        <v>5</v>
      </c>
      <c r="E25" s="27" t="s">
        <v>164</v>
      </c>
    </row>
    <row r="28" spans="1:5">
      <c r="A28" s="35" t="s">
        <v>165</v>
      </c>
      <c r="B28" s="35" t="s">
        <v>166</v>
      </c>
      <c r="C28" s="35" t="s">
        <v>5</v>
      </c>
      <c r="D28" s="35" t="s">
        <v>167</v>
      </c>
      <c r="E28" s="35" t="s">
        <v>168</v>
      </c>
    </row>
    <row r="29" spans="1:5" ht="42" customHeight="1">
      <c r="A29" s="36" t="s">
        <v>169</v>
      </c>
      <c r="B29" s="36" t="s">
        <v>170</v>
      </c>
      <c r="C29" s="36" t="s">
        <v>171</v>
      </c>
      <c r="D29" s="36" t="s">
        <v>172</v>
      </c>
      <c r="E29" s="36" t="s">
        <v>185</v>
      </c>
    </row>
    <row r="30" spans="1:5" ht="42" customHeight="1">
      <c r="A30" s="37" t="s">
        <v>173</v>
      </c>
      <c r="B30" s="37" t="s">
        <v>174</v>
      </c>
      <c r="C30" s="37" t="s">
        <v>171</v>
      </c>
      <c r="D30" s="37" t="s">
        <v>175</v>
      </c>
      <c r="E30" s="37" t="s">
        <v>186</v>
      </c>
    </row>
    <row r="31" spans="1:5" ht="42" customHeight="1">
      <c r="A31" s="37" t="s">
        <v>169</v>
      </c>
      <c r="B31" s="37" t="s">
        <v>176</v>
      </c>
      <c r="C31" s="37" t="s">
        <v>171</v>
      </c>
      <c r="D31" s="37" t="s">
        <v>177</v>
      </c>
      <c r="E31" s="37" t="s">
        <v>187</v>
      </c>
    </row>
    <row r="32" spans="1:5" ht="42" customHeight="1">
      <c r="A32" s="37" t="s">
        <v>178</v>
      </c>
      <c r="B32" s="37" t="s">
        <v>179</v>
      </c>
      <c r="C32" s="37" t="s">
        <v>171</v>
      </c>
      <c r="D32" s="37" t="s">
        <v>180</v>
      </c>
      <c r="E32" s="37" t="s">
        <v>188</v>
      </c>
    </row>
    <row r="35" spans="1:2">
      <c r="A35" s="21" t="s">
        <v>110</v>
      </c>
      <c r="B35" s="21" t="s">
        <v>181</v>
      </c>
    </row>
    <row r="36" spans="1:2">
      <c r="A36" s="38" t="s">
        <v>18</v>
      </c>
      <c r="B36" s="38" t="s">
        <v>182</v>
      </c>
    </row>
    <row r="37" spans="1:2">
      <c r="A37" s="39" t="s">
        <v>16</v>
      </c>
      <c r="B37" s="39" t="s">
        <v>183</v>
      </c>
    </row>
    <row r="38" spans="1:2">
      <c r="A38" s="39" t="s">
        <v>20</v>
      </c>
      <c r="B38" s="39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สรุป</vt:lpstr>
      <vt:lpstr>ระบบและทรัพย์สิน</vt:lpstr>
      <vt:lpstr>ข้อมูลที่ยังขาด</vt:lpstr>
      <vt:lpstr>ความเสี่ยง</vt:lpstr>
      <vt:lpstr>Handover</vt:lpstr>
      <vt:lpstr>ข้อมูลใช้งานจริง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Fernclinic</dc:creator>
  <cp:lastModifiedBy>Uompon SaeHae</cp:lastModifiedBy>
  <dcterms:created xsi:type="dcterms:W3CDTF">2026-09-21T09:03:52Z</dcterms:created>
  <dcterms:modified xsi:type="dcterms:W3CDTF">2026-09-22T08:06:45Z</dcterms:modified>
</cp:coreProperties>
</file>